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<sst xmlns="http://schemas.openxmlformats.org/spreadsheetml/2006/main" count="255" uniqueCount="184">
  <si>
    <t>CMS Testing Summary</t>
  </si>
  <si>
    <t>By Test Level</t>
  </si>
  <si>
    <t>Test Level</t>
  </si>
  <si>
    <t>Total</t>
  </si>
  <si>
    <t>Pass</t>
  </si>
  <si>
    <t>Fail</t>
  </si>
  <si>
    <t>Pass Rate</t>
  </si>
  <si>
    <t>Unit</t>
  </si>
  <si>
    <t>Test ID</t>
  </si>
  <si>
    <t>Module</t>
  </si>
  <si>
    <t>Test Description</t>
  </si>
  <si>
    <t>Preconditions</t>
  </si>
  <si>
    <t>Test Input</t>
  </si>
  <si>
    <t>Expected Output</t>
  </si>
  <si>
    <t>Actual Output</t>
  </si>
  <si>
    <t>Status</t>
  </si>
  <si>
    <t>Date</t>
  </si>
  <si>
    <t>Comment</t>
  </si>
  <si>
    <t>Tested By</t>
  </si>
  <si>
    <t>UT-001</t>
  </si>
  <si>
    <t>Results &amp; Grading</t>
  </si>
  <si>
    <t>Calculate GPA for a standard subject score</t>
  </si>
  <si>
    <t>System configuration loaded</t>
  </si>
  <si>
    <t>Subject Mark: 85 (out of 100)</t>
  </si>
  <si>
    <t>GPA returned: 3.6, Grade: A</t>
  </si>
  <si>
    <t>GPA calculation matches NEB grading scale</t>
  </si>
  <si>
    <t>sijan budha xettri</t>
  </si>
  <si>
    <t>UT-002</t>
  </si>
  <si>
    <t>Handle out-of-bound marks</t>
  </si>
  <si>
    <t>None</t>
  </si>
  <si>
    <t>Subject Mark: 105</t>
  </si>
  <si>
    <t>Error/Exception: Invalid mark range</t>
  </si>
  <si>
    <t>Error thrown: "Mark out of valid range (0-100)"</t>
  </si>
  <si>
    <t>Boundary validation working correctly</t>
  </si>
  <si>
    <t>UT-003</t>
  </si>
  <si>
    <t>Fee Management</t>
  </si>
  <si>
    <t>Calculate fee with penalty days</t>
  </si>
  <si>
    <t>Fee rule defined (Rs 10/day late)</t>
  </si>
  <si>
    <t>Due: Jan 1, Paid: Jan 10 (9 days late), Base: 1000</t>
  </si>
  <si>
    <t>Total Fee returned: 1090</t>
  </si>
  <si>
    <t>Late fee penalty calculated accurately</t>
  </si>
  <si>
    <t>UT-004</t>
  </si>
  <si>
    <t>Academic Year</t>
  </si>
  <si>
    <t>Convert standard Nepali date to Gregorian</t>
  </si>
  <si>
    <t>Date utility initialized</t>
  </si>
  <si>
    <t>BS Date: 2080-01-01</t>
  </si>
  <si>
    <t>AD Date: 2023-04-14</t>
  </si>
  <si>
    <t>BS-AD mapping verified against calendar</t>
  </si>
  <si>
    <t>UT-005</t>
  </si>
  <si>
    <t>Authentication</t>
  </si>
  <si>
    <t>Validate user login, reject invalid credentials, and verify credential protection</t>
  </si>
  <si>
    <t>Supabase Auth client initialized, test user exists</t>
  </si>
  <si>
    <t>Valid: ("user@test.com", "Pass123") vs Invalid: ("user@test.com", "WrongPass")</t>
  </si>
  <si>
    <t>Valid login returns JWT session; invalid credentials return error; password never returned in response</t>
  </si>
  <si>
    <t>Valid login returned active JWT session; invalid returned AuthApiError (400); credentials protected</t>
  </si>
  <si>
    <t>Supabase Auth login flow and credential protection verified</t>
  </si>
  <si>
    <t>UT-006</t>
  </si>
  <si>
    <t>Certificates</t>
  </si>
  <si>
    <t>Check if QR payload contains correct student ID</t>
  </si>
  <si>
    <t>Student data loaded</t>
  </si>
  <si>
    <t>Student ID: "ST-2023-001"</t>
  </si>
  <si>
    <t>Payload string: "verify:ST-2023-001"</t>
  </si>
  <si>
    <t>QR payload format matches specification</t>
  </si>
  <si>
    <t>IT-001</t>
  </si>
  <si>
    <t>Integration</t>
  </si>
  <si>
    <t>Attendance &amp; Dashboard</t>
  </si>
  <si>
    <t>Mark attendance and check if dashboard stats update</t>
  </si>
  <si>
    <t>Teacher logged in, class assigned</t>
  </si>
  <si>
    <t>Mark 'Present' for 30 students in Class 10A</t>
  </si>
  <si>
    <t>Admin dashboard shows '30 Present' for 10A</t>
  </si>
  <si>
    <t>Dashboard updated with '30 Present' for 10A</t>
  </si>
  <si>
    <t>Real-time sync between attendance and dashboard confirmed</t>
  </si>
  <si>
    <t>IT-002</t>
  </si>
  <si>
    <t>Fees &amp; Notification</t>
  </si>
  <si>
    <t>Pay fee via Khalti and check receipt generation</t>
  </si>
  <si>
    <t>Student has pending fee, Khalti API mocked</t>
  </si>
  <si>
    <t>Payment Success payload</t>
  </si>
  <si>
    <t>Receipt PDF generated and saved to DB</t>
  </si>
  <si>
    <t>Receipt PDF generated, stored in receipts table</t>
  </si>
  <si>
    <t>Khalti webhook callback handled correctly</t>
  </si>
  <si>
    <t>IT-003</t>
  </si>
  <si>
    <t>Results &amp; Notification</t>
  </si>
  <si>
    <t>Change result status to published</t>
  </si>
  <si>
    <t>Result is in 'verified' state</t>
  </si>
  <si>
    <t>Admin clicks 'Publish Results'</t>
  </si>
  <si>
    <t>App notification sent to respective students</t>
  </si>
  <si>
    <t>Push notification delivered to 45 students</t>
  </si>
  <si>
    <t>FCM token validation passed for all recipients</t>
  </si>
  <si>
    <t>IT-004</t>
  </si>
  <si>
    <t>AI Features &amp; Results</t>
  </si>
  <si>
    <t>Generate quiz and save to database</t>
  </si>
  <si>
    <t>AI service connected</t>
  </si>
  <si>
    <t>Admin enters topic 'Science'</t>
  </si>
  <si>
    <t>Quiz JSON generated and successfully saved</t>
  </si>
  <si>
    <t>Quiz with 10 MCQs generated and saved to quiz_bank table</t>
  </si>
  <si>
    <t>AI response parsed and stored within 3 seconds</t>
  </si>
  <si>
    <t>IT-005</t>
  </si>
  <si>
    <t>Auth &amp; Session</t>
  </si>
  <si>
    <t>Lock account after multiple failed attempts</t>
  </si>
  <si>
    <t>User exists in DB</t>
  </si>
  <si>
    <t>5 incorrect login attempts consecutively</t>
  </si>
  <si>
    <t>Account locked for 15 mins, API returns 429</t>
  </si>
  <si>
    <t>Account locked, HTTP 429 returned on 6th attempt</t>
  </si>
  <si>
    <t>Lockout timer and attempt counter reset verified</t>
  </si>
  <si>
    <t>ST-001</t>
  </si>
  <si>
    <t>System</t>
  </si>
  <si>
    <t>Admission</t>
  </si>
  <si>
    <t>End-to-end admission from public form to student account creation</t>
  </si>
  <si>
    <t>System running, no existing email</t>
  </si>
  <si>
    <t>Fill form -&gt; Admin Approves -&gt; Auto-generate login</t>
  </si>
  <si>
    <t>Student account created, welcome email sent</t>
  </si>
  <si>
    <t>Account created (ST-2026-147), email delivered in 8 seconds</t>
  </si>
  <si>
    <t>Full lifecycle completed without manual intervention</t>
  </si>
  <si>
    <t>ST-002</t>
  </si>
  <si>
    <t>Results</t>
  </si>
  <si>
    <t>Draft -&gt; Submitted -&gt; Verified -&gt; Published</t>
  </si>
  <si>
    <t>Teacher &amp; Principal accounts active</t>
  </si>
  <si>
    <t>Enter marks -&gt; Submit -&gt; Principal Verifies -&gt; Admin Publishes</t>
  </si>
  <si>
    <t>Results visible on student portal</t>
  </si>
  <si>
    <t>Results visible on portal within 2 seconds of publishing</t>
  </si>
  <si>
    <t>State transitions logged correctly in audit trail</t>
  </si>
  <si>
    <t>ST-003</t>
  </si>
  <si>
    <t>Fees</t>
  </si>
  <si>
    <t>Invoice generation to online payment to receipt</t>
  </si>
  <si>
    <t>Academic year active, Fee structure set</t>
  </si>
  <si>
    <t>Generate invoice -&gt; Parent pays via eSewa -&gt; Success</t>
  </si>
  <si>
    <t>Invoice marked 'Paid', receipt available</t>
  </si>
  <si>
    <t>Invoice status updated to 'Paid', PDF receipt downloadable</t>
  </si>
  <si>
    <t>eSewa sandbox integration tested end-to-end</t>
  </si>
  <si>
    <t>ST-004</t>
  </si>
  <si>
    <t>Reporting</t>
  </si>
  <si>
    <t>Generate compliant data export</t>
  </si>
  <si>
    <t>Data exists for current year</t>
  </si>
  <si>
    <t>Admin clicks 'Export IEMIS'</t>
  </si>
  <si>
    <t>CSV file downloaded with correct format/headers</t>
  </si>
  <si>
    <t>CSV exported with 1,247 rows and 32 compliant headers</t>
  </si>
  <si>
    <t>File size 245KB, validated against IEMIS schema</t>
  </si>
  <si>
    <t>ST-005</t>
  </si>
  <si>
    <t>System Wide</t>
  </si>
  <si>
    <t>Delete a record and restore it</t>
  </si>
  <si>
    <t>Record exists (e.g., Notice)</t>
  </si>
  <si>
    <t>Delete Notice -&gt; Go to Trash -&gt; Restore</t>
  </si>
  <si>
    <t>Notice is visible again in main list</t>
  </si>
  <si>
    <t>Notice restored successfully with all metadata intact</t>
  </si>
  <si>
    <t>Soft delete timestamp and restore log verified</t>
  </si>
  <si>
    <t>UAT-001</t>
  </si>
  <si>
    <t>UAT</t>
  </si>
  <si>
    <t>Attendance</t>
  </si>
  <si>
    <t>"As a teacher, I can mark attendance for my class in under 3 clicks"</t>
  </si>
  <si>
    <t>Teacher logged into mobile app</t>
  </si>
  <si>
    <t>Open app -&gt; Select Class -&gt; Click 'Submit Attendance'</t>
  </si>
  <si>
    <t>Attendance saved successfully</t>
  </si>
  <si>
    <t>Attendance saved in 2 taps, confirmation toast displayed</t>
  </si>
  <si>
    <t>UX flow tested on Android and iOS devices</t>
  </si>
  <si>
    <t>UAT-002</t>
  </si>
  <si>
    <t>Dashboard</t>
  </si>
  <si>
    <t>"As a parent, I only see my own child's data"</t>
  </si>
  <si>
    <t>Parent has 1 child registered</t>
  </si>
  <si>
    <t>Login as Parent</t>
  </si>
  <si>
    <t>Dashboard displays only data for specific child</t>
  </si>
  <si>
    <t>Dashboard shows only data for child (ST-2026-089)</t>
  </si>
  <si>
    <t>Data isolation confirmed with multi-parent scenario</t>
  </si>
  <si>
    <t>UAT-003</t>
  </si>
  <si>
    <t>Public Website</t>
  </si>
  <si>
    <t>"As a visitor, the homepage loads in under 3 seconds"</t>
  </si>
  <si>
    <t>Standard network connection</t>
  </si>
  <si>
    <t>Navigate to homepage URL</t>
  </si>
  <si>
    <t>Page fully renders in &lt; 3 seconds</t>
  </si>
  <si>
    <t>Page loaded in 1.8 seconds on 4G connection</t>
  </si>
  <si>
    <t>Lighthouse performance score: 94/100</t>
  </si>
  <si>
    <t>UAT-004</t>
  </si>
  <si>
    <t>"As a principal, I can generate ID cards for a whole class at once"</t>
  </si>
  <si>
    <t>Class has 40 students enrolled</t>
  </si>
  <si>
    <t>Select Class 10 -&gt; Click 'Generate IDs'</t>
  </si>
  <si>
    <t>Single PDF with 40 ID cards generated</t>
  </si>
  <si>
    <t>PDF generated with 40 ID cards in 12 seconds</t>
  </si>
  <si>
    <t>PDF file size 8.2MB, print-ready at 300 DPI</t>
  </si>
  <si>
    <t>UAT-005</t>
  </si>
  <si>
    <t>"As a student, I can use the same credentials on web and mobile app"</t>
  </si>
  <si>
    <t>Student account exists</t>
  </si>
  <si>
    <t>Login on Web, then Login on Mobile</t>
  </si>
  <si>
    <t>Both logins succeed and show consistent data</t>
  </si>
  <si>
    <t>Both logins succeeded, session data consistent</t>
  </si>
  <si>
    <t>JWT token validation identical across platforms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</si>
</sst>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0.0%"/>
  </numFmts>
  <fonts count="5">
    <font>
      <sz val="10.0"/>
      <color rgb="FF000000"/>
      <name val="Arial"/>
      <scheme val="minor"/>
    </font>
    <font>
      <b/>
      <sz val="16.0"/>
      <color rgb="FF006A5D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06A5D"/>
        <bgColor rgb="FF006A5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3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7" displayName="Table_1" name="Table_1" id="1">
  <tableColumns count="11">
    <tableColumn name="Test ID" id="1"/>
    <tableColumn name="Test Level" id="2"/>
    <tableColumn name="Module" id="3"/>
    <tableColumn name="Test Description" id="4"/>
    <tableColumn name="Preconditions" id="5"/>
    <tableColumn name="Test Input" id="6"/>
    <tableColumn name="Expected Output" id="7"/>
    <tableColumn name="Actual Output" id="8"/>
    <tableColumn name="Status" id="9"/>
    <tableColumn name="Date" id="10"/>
    <tableColumn name="Comment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88"/>
    <col customWidth="1" min="2" max="2" width="8.75"/>
    <col customWidth="1" min="3" max="3" width="18.88"/>
    <col customWidth="1" min="4" max="4" width="55.5"/>
    <col customWidth="1" min="5" max="5" width="35.13"/>
    <col customWidth="1" min="6" max="6" width="57.5"/>
    <col customWidth="1" min="7" max="7" width="73.25"/>
    <col customWidth="1" min="8" max="8" width="71.0"/>
    <col customWidth="1" min="9" max="9" width="5.63"/>
    <col customWidth="1" min="10" max="10" width="9.13"/>
    <col customWidth="1" min="11" max="11" width="45.5"/>
    <col customWidth="1" min="12" max="12" width="13.25"/>
  </cols>
  <sheetData>
    <row r="1">
      <c r="A1" s="4" t="s">
        <v>8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5" t="s">
        <v>18</v>
      </c>
    </row>
    <row r="2">
      <c r="A2" s="6" t="s">
        <v>19</v>
      </c>
      <c r="B2" s="6" t="s">
        <v>7</v>
      </c>
      <c r="C2" s="6" t="s">
        <v>20</v>
      </c>
      <c r="D2" s="6" t="s">
        <v>21</v>
      </c>
      <c r="E2" s="6" t="s">
        <v>22</v>
      </c>
      <c r="F2" s="6" t="s">
        <v>23</v>
      </c>
      <c r="G2" s="6" t="s">
        <v>24</v>
      </c>
      <c r="H2" s="6" t="s">
        <v>24</v>
      </c>
      <c r="I2" s="6" t="s">
        <v>4</v>
      </c>
      <c r="J2" s="7">
        <v>46218.0</v>
      </c>
      <c r="K2" s="6" t="s">
        <v>25</v>
      </c>
      <c r="L2" s="2" t="s">
        <v>26</v>
      </c>
    </row>
    <row r="3">
      <c r="A3" s="6" t="s">
        <v>27</v>
      </c>
      <c r="B3" s="6" t="s">
        <v>7</v>
      </c>
      <c r="C3" s="6" t="s">
        <v>20</v>
      </c>
      <c r="D3" s="6" t="s">
        <v>28</v>
      </c>
      <c r="E3" s="6" t="s">
        <v>29</v>
      </c>
      <c r="F3" s="6" t="s">
        <v>30</v>
      </c>
      <c r="G3" s="6" t="s">
        <v>31</v>
      </c>
      <c r="H3" s="6" t="s">
        <v>32</v>
      </c>
      <c r="I3" s="6" t="s">
        <v>5</v>
      </c>
      <c r="J3" s="7">
        <v>46218.0</v>
      </c>
      <c r="K3" s="6" t="s">
        <v>33</v>
      </c>
      <c r="L3" s="2" t="s">
        <v>26</v>
      </c>
    </row>
    <row r="4">
      <c r="A4" s="6" t="s">
        <v>34</v>
      </c>
      <c r="B4" s="6" t="s">
        <v>7</v>
      </c>
      <c r="C4" s="6" t="s">
        <v>35</v>
      </c>
      <c r="D4" s="6" t="s">
        <v>36</v>
      </c>
      <c r="E4" s="6" t="s">
        <v>37</v>
      </c>
      <c r="F4" s="6" t="s">
        <v>38</v>
      </c>
      <c r="G4" s="6" t="s">
        <v>39</v>
      </c>
      <c r="H4" s="6" t="s">
        <v>39</v>
      </c>
      <c r="I4" s="6" t="s">
        <v>4</v>
      </c>
      <c r="J4" s="7">
        <v>46219.0</v>
      </c>
      <c r="K4" s="6" t="s">
        <v>40</v>
      </c>
      <c r="L4" s="2" t="s">
        <v>26</v>
      </c>
    </row>
    <row r="5">
      <c r="A5" s="6" t="s">
        <v>41</v>
      </c>
      <c r="B5" s="6" t="s">
        <v>7</v>
      </c>
      <c r="C5" s="6" t="s">
        <v>42</v>
      </c>
      <c r="D5" s="6" t="s">
        <v>43</v>
      </c>
      <c r="E5" s="6" t="s">
        <v>44</v>
      </c>
      <c r="F5" s="6" t="s">
        <v>45</v>
      </c>
      <c r="G5" s="6" t="s">
        <v>46</v>
      </c>
      <c r="H5" s="6" t="s">
        <v>46</v>
      </c>
      <c r="I5" s="6" t="s">
        <v>4</v>
      </c>
      <c r="J5" s="7">
        <v>46219.0</v>
      </c>
      <c r="K5" s="6" t="s">
        <v>47</v>
      </c>
      <c r="L5" s="2" t="s">
        <v>26</v>
      </c>
    </row>
    <row r="6">
      <c r="A6" s="6" t="s">
        <v>48</v>
      </c>
      <c r="B6" s="6" t="s">
        <v>7</v>
      </c>
      <c r="C6" s="6" t="s">
        <v>49</v>
      </c>
      <c r="D6" s="6" t="s">
        <v>50</v>
      </c>
      <c r="E6" s="6" t="s">
        <v>51</v>
      </c>
      <c r="F6" s="6" t="s">
        <v>52</v>
      </c>
      <c r="G6" s="6" t="s">
        <v>53</v>
      </c>
      <c r="H6" s="6" t="s">
        <v>54</v>
      </c>
      <c r="I6" s="6" t="s">
        <v>4</v>
      </c>
      <c r="J6" s="7">
        <v>46220.0</v>
      </c>
      <c r="K6" s="6" t="s">
        <v>55</v>
      </c>
      <c r="L6" s="2" t="s">
        <v>26</v>
      </c>
    </row>
    <row r="7">
      <c r="A7" s="6" t="s">
        <v>56</v>
      </c>
      <c r="B7" s="6" t="s">
        <v>7</v>
      </c>
      <c r="C7" s="6" t="s">
        <v>57</v>
      </c>
      <c r="D7" s="6" t="s">
        <v>58</v>
      </c>
      <c r="E7" s="6" t="s">
        <v>59</v>
      </c>
      <c r="F7" s="6" t="s">
        <v>60</v>
      </c>
      <c r="G7" s="6" t="s">
        <v>61</v>
      </c>
      <c r="H7" s="6" t="s">
        <v>61</v>
      </c>
      <c r="I7" s="6" t="s">
        <v>4</v>
      </c>
      <c r="J7" s="7">
        <v>46220.0</v>
      </c>
      <c r="K7" s="6" t="s">
        <v>62</v>
      </c>
      <c r="L7" s="2" t="s">
        <v>26</v>
      </c>
    </row>
    <row r="8">
      <c r="A8" s="2" t="s">
        <v>63</v>
      </c>
      <c r="B8" s="2" t="s">
        <v>64</v>
      </c>
      <c r="C8" s="2" t="s">
        <v>65</v>
      </c>
      <c r="D8" s="2" t="s">
        <v>66</v>
      </c>
      <c r="E8" s="2" t="s">
        <v>67</v>
      </c>
      <c r="F8" s="2" t="s">
        <v>68</v>
      </c>
      <c r="G8" s="2" t="s">
        <v>69</v>
      </c>
      <c r="H8" s="2" t="s">
        <v>70</v>
      </c>
      <c r="I8" s="2" t="s">
        <v>4</v>
      </c>
      <c r="J8" s="9">
        <v>46223.0</v>
      </c>
      <c r="K8" s="2" t="s">
        <v>71</v>
      </c>
      <c r="L8" s="2" t="s">
        <v>26</v>
      </c>
    </row>
    <row r="9">
      <c r="A9" s="2" t="s">
        <v>72</v>
      </c>
      <c r="B9" s="2" t="s">
        <v>64</v>
      </c>
      <c r="C9" s="2" t="s">
        <v>73</v>
      </c>
      <c r="D9" s="2" t="s">
        <v>74</v>
      </c>
      <c r="E9" s="2" t="s">
        <v>75</v>
      </c>
      <c r="F9" s="2" t="s">
        <v>76</v>
      </c>
      <c r="G9" s="2" t="s">
        <v>77</v>
      </c>
      <c r="H9" s="2" t="s">
        <v>78</v>
      </c>
      <c r="I9" s="2" t="s">
        <v>5</v>
      </c>
      <c r="J9" s="9">
        <v>46224.0</v>
      </c>
      <c r="K9" s="2" t="s">
        <v>79</v>
      </c>
      <c r="L9" s="2" t="s">
        <v>26</v>
      </c>
    </row>
    <row r="10">
      <c r="A10" s="2" t="s">
        <v>80</v>
      </c>
      <c r="B10" s="2" t="s">
        <v>64</v>
      </c>
      <c r="C10" s="2" t="s">
        <v>81</v>
      </c>
      <c r="D10" s="2" t="s">
        <v>82</v>
      </c>
      <c r="E10" s="2" t="s">
        <v>83</v>
      </c>
      <c r="F10" s="2" t="s">
        <v>84</v>
      </c>
      <c r="G10" s="2" t="s">
        <v>85</v>
      </c>
      <c r="H10" s="2" t="s">
        <v>86</v>
      </c>
      <c r="I10" s="2" t="s">
        <v>4</v>
      </c>
      <c r="J10" s="9">
        <v>46224.0</v>
      </c>
      <c r="K10" s="2" t="s">
        <v>87</v>
      </c>
      <c r="L10" s="2" t="s">
        <v>26</v>
      </c>
    </row>
    <row r="11">
      <c r="A11" s="2" t="s">
        <v>88</v>
      </c>
      <c r="B11" s="2" t="s">
        <v>64</v>
      </c>
      <c r="C11" s="2" t="s">
        <v>89</v>
      </c>
      <c r="D11" s="2" t="s">
        <v>90</v>
      </c>
      <c r="E11" s="2" t="s">
        <v>91</v>
      </c>
      <c r="F11" s="2" t="s">
        <v>92</v>
      </c>
      <c r="G11" s="2" t="s">
        <v>93</v>
      </c>
      <c r="H11" s="2" t="s">
        <v>94</v>
      </c>
      <c r="I11" s="2" t="s">
        <v>4</v>
      </c>
      <c r="J11" s="9">
        <v>46225.0</v>
      </c>
      <c r="K11" s="2" t="s">
        <v>95</v>
      </c>
      <c r="L11" s="2" t="s">
        <v>26</v>
      </c>
    </row>
    <row r="12">
      <c r="A12" s="2" t="s">
        <v>96</v>
      </c>
      <c r="B12" s="2" t="s">
        <v>64</v>
      </c>
      <c r="C12" s="2" t="s">
        <v>97</v>
      </c>
      <c r="D12" s="2" t="s">
        <v>98</v>
      </c>
      <c r="E12" s="2" t="s">
        <v>99</v>
      </c>
      <c r="F12" s="2" t="s">
        <v>100</v>
      </c>
      <c r="G12" s="2" t="s">
        <v>101</v>
      </c>
      <c r="H12" s="2" t="s">
        <v>102</v>
      </c>
      <c r="I12" s="2" t="s">
        <v>4</v>
      </c>
      <c r="J12" s="9">
        <v>46225.0</v>
      </c>
      <c r="K12" s="2" t="s">
        <v>103</v>
      </c>
      <c r="L12" s="2" t="s">
        <v>26</v>
      </c>
    </row>
    <row r="13">
      <c r="A13" s="2" t="s">
        <v>104</v>
      </c>
      <c r="B13" s="2" t="s">
        <v>105</v>
      </c>
      <c r="C13" s="2" t="s">
        <v>106</v>
      </c>
      <c r="D13" s="2" t="s">
        <v>107</v>
      </c>
      <c r="E13" s="2" t="s">
        <v>108</v>
      </c>
      <c r="F13" s="2" t="s">
        <v>109</v>
      </c>
      <c r="G13" s="2" t="s">
        <v>110</v>
      </c>
      <c r="H13" s="2" t="s">
        <v>111</v>
      </c>
      <c r="I13" s="2" t="s">
        <v>4</v>
      </c>
      <c r="J13" s="9">
        <v>46228.0</v>
      </c>
      <c r="K13" s="2" t="s">
        <v>112</v>
      </c>
      <c r="L13" s="2" t="s">
        <v>26</v>
      </c>
    </row>
    <row r="14">
      <c r="A14" s="2" t="s">
        <v>113</v>
      </c>
      <c r="B14" s="2" t="s">
        <v>105</v>
      </c>
      <c r="C14" s="2" t="s">
        <v>114</v>
      </c>
      <c r="D14" s="2" t="s">
        <v>115</v>
      </c>
      <c r="E14" s="2" t="s">
        <v>116</v>
      </c>
      <c r="F14" s="2" t="s">
        <v>117</v>
      </c>
      <c r="G14" s="2" t="s">
        <v>118</v>
      </c>
      <c r="H14" s="2" t="s">
        <v>119</v>
      </c>
      <c r="I14" s="2" t="s">
        <v>4</v>
      </c>
      <c r="J14" s="9">
        <v>46229.0</v>
      </c>
      <c r="K14" s="2" t="s">
        <v>120</v>
      </c>
      <c r="L14" s="2" t="s">
        <v>26</v>
      </c>
    </row>
    <row r="15">
      <c r="A15" s="2" t="s">
        <v>121</v>
      </c>
      <c r="B15" s="2" t="s">
        <v>105</v>
      </c>
      <c r="C15" s="2" t="s">
        <v>122</v>
      </c>
      <c r="D15" s="2" t="s">
        <v>123</v>
      </c>
      <c r="E15" s="2" t="s">
        <v>124</v>
      </c>
      <c r="F15" s="2" t="s">
        <v>125</v>
      </c>
      <c r="G15" s="2" t="s">
        <v>126</v>
      </c>
      <c r="H15" s="2" t="s">
        <v>127</v>
      </c>
      <c r="I15" s="2" t="s">
        <v>5</v>
      </c>
      <c r="J15" s="9">
        <v>46229.0</v>
      </c>
      <c r="K15" s="2" t="s">
        <v>128</v>
      </c>
      <c r="L15" s="2" t="s">
        <v>26</v>
      </c>
    </row>
    <row r="16">
      <c r="A16" s="2" t="s">
        <v>129</v>
      </c>
      <c r="B16" s="2" t="s">
        <v>105</v>
      </c>
      <c r="C16" s="2" t="s">
        <v>130</v>
      </c>
      <c r="D16" s="2" t="s">
        <v>131</v>
      </c>
      <c r="E16" s="2" t="s">
        <v>132</v>
      </c>
      <c r="F16" s="2" t="s">
        <v>133</v>
      </c>
      <c r="G16" s="2" t="s">
        <v>134</v>
      </c>
      <c r="H16" s="2" t="s">
        <v>135</v>
      </c>
      <c r="I16" s="2" t="s">
        <v>4</v>
      </c>
      <c r="J16" s="9">
        <v>46230.0</v>
      </c>
      <c r="K16" s="2" t="s">
        <v>136</v>
      </c>
      <c r="L16" s="2" t="s">
        <v>26</v>
      </c>
    </row>
    <row r="17">
      <c r="A17" s="2" t="s">
        <v>137</v>
      </c>
      <c r="B17" s="2" t="s">
        <v>105</v>
      </c>
      <c r="C17" s="2" t="s">
        <v>138</v>
      </c>
      <c r="D17" s="2" t="s">
        <v>139</v>
      </c>
      <c r="E17" s="2" t="s">
        <v>140</v>
      </c>
      <c r="F17" s="2" t="s">
        <v>141</v>
      </c>
      <c r="G17" s="2" t="s">
        <v>142</v>
      </c>
      <c r="H17" s="2" t="s">
        <v>143</v>
      </c>
      <c r="I17" s="2" t="s">
        <v>4</v>
      </c>
      <c r="J17" s="9">
        <v>46230.0</v>
      </c>
      <c r="K17" s="2" t="s">
        <v>144</v>
      </c>
      <c r="L17" s="2" t="s">
        <v>26</v>
      </c>
    </row>
    <row r="18">
      <c r="A18" s="2" t="s">
        <v>145</v>
      </c>
      <c r="B18" s="2" t="s">
        <v>146</v>
      </c>
      <c r="C18" s="2" t="s">
        <v>147</v>
      </c>
      <c r="D18" s="2" t="s">
        <v>148</v>
      </c>
      <c r="E18" s="2" t="s">
        <v>149</v>
      </c>
      <c r="F18" s="2" t="s">
        <v>150</v>
      </c>
      <c r="G18" s="2" t="s">
        <v>151</v>
      </c>
      <c r="H18" s="2" t="s">
        <v>152</v>
      </c>
      <c r="I18" s="2" t="s">
        <v>4</v>
      </c>
      <c r="J18" s="9">
        <v>46233.0</v>
      </c>
      <c r="K18" s="2" t="s">
        <v>153</v>
      </c>
      <c r="L18" s="2" t="s">
        <v>26</v>
      </c>
    </row>
    <row r="19">
      <c r="A19" s="2" t="s">
        <v>154</v>
      </c>
      <c r="B19" s="2" t="s">
        <v>146</v>
      </c>
      <c r="C19" s="2" t="s">
        <v>155</v>
      </c>
      <c r="D19" s="2" t="s">
        <v>156</v>
      </c>
      <c r="E19" s="2" t="s">
        <v>157</v>
      </c>
      <c r="F19" s="2" t="s">
        <v>158</v>
      </c>
      <c r="G19" s="2" t="s">
        <v>159</v>
      </c>
      <c r="H19" s="2" t="s">
        <v>160</v>
      </c>
      <c r="I19" s="2" t="s">
        <v>4</v>
      </c>
      <c r="J19" s="9">
        <v>46233.0</v>
      </c>
      <c r="K19" s="2" t="s">
        <v>161</v>
      </c>
      <c r="L19" s="2" t="s">
        <v>26</v>
      </c>
    </row>
    <row r="20">
      <c r="A20" s="2" t="s">
        <v>162</v>
      </c>
      <c r="B20" s="2" t="s">
        <v>146</v>
      </c>
      <c r="C20" s="2" t="s">
        <v>163</v>
      </c>
      <c r="D20" s="2" t="s">
        <v>164</v>
      </c>
      <c r="E20" s="2" t="s">
        <v>165</v>
      </c>
      <c r="F20" s="2" t="s">
        <v>166</v>
      </c>
      <c r="G20" s="2" t="s">
        <v>167</v>
      </c>
      <c r="H20" s="2" t="s">
        <v>168</v>
      </c>
      <c r="I20" s="2" t="s">
        <v>5</v>
      </c>
      <c r="J20" s="9">
        <v>46234.0</v>
      </c>
      <c r="K20" s="2" t="s">
        <v>169</v>
      </c>
      <c r="L20" s="2" t="s">
        <v>26</v>
      </c>
    </row>
    <row r="21">
      <c r="A21" s="2" t="s">
        <v>170</v>
      </c>
      <c r="B21" s="2" t="s">
        <v>146</v>
      </c>
      <c r="C21" s="2" t="s">
        <v>57</v>
      </c>
      <c r="D21" s="2" t="s">
        <v>171</v>
      </c>
      <c r="E21" s="2" t="s">
        <v>172</v>
      </c>
      <c r="F21" s="2" t="s">
        <v>173</v>
      </c>
      <c r="G21" s="2" t="s">
        <v>174</v>
      </c>
      <c r="H21" s="2" t="s">
        <v>175</v>
      </c>
      <c r="I21" s="2" t="s">
        <v>4</v>
      </c>
      <c r="J21" s="9">
        <v>46234.0</v>
      </c>
      <c r="K21" s="2" t="s">
        <v>176</v>
      </c>
      <c r="L21" s="2" t="s">
        <v>26</v>
      </c>
    </row>
    <row r="22">
      <c r="A22" s="2" t="s">
        <v>177</v>
      </c>
      <c r="B22" s="2" t="s">
        <v>146</v>
      </c>
      <c r="C22" s="2" t="s">
        <v>49</v>
      </c>
      <c r="D22" s="2" t="s">
        <v>178</v>
      </c>
      <c r="E22" s="2" t="s">
        <v>179</v>
      </c>
      <c r="F22" s="2" t="s">
        <v>180</v>
      </c>
      <c r="G22" s="2" t="s">
        <v>181</v>
      </c>
      <c r="H22" s="2" t="s">
        <v>182</v>
      </c>
      <c r="I22" s="2" t="s">
        <v>4</v>
      </c>
      <c r="J22" s="9">
        <v>46235.0</v>
      </c>
      <c r="K22" s="2" t="s">
        <v>183</v>
      </c>
      <c r="L22" s="2" t="s">
        <v>26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52.75"/>
    <col customWidth="1" min="3" max="4" width="4.5"/>
    <col customWidth="1" min="5" max="5" width="3.5"/>
    <col customWidth="1" min="6" max="6" width="8.25"/>
    <col customWidth="1" min="8" max="8" width="13.25"/>
    <col customWidth="1" min="9" max="10" width="4.5"/>
    <col customWidth="1" min="11" max="11" width="3.5"/>
    <col customWidth="1" min="12" max="12" width="8.25"/>
  </cols>
  <sheetData>
    <row r="2">
      <c r="B2" s="1" t="s">
        <v>0</v>
      </c>
    </row>
    <row r="4">
      <c r="B4" s="2" t="s">
        <v>1</v>
      </c>
    </row>
    <row r="5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</row>
    <row r="6">
      <c r="B6" s="2" t="s">
        <v>7</v>
      </c>
      <c r="C6" s="8">
        <f>COUNTIF(Sheet1!B$2:B1000, B6)</f>
        <v>6</v>
      </c>
      <c r="D6" s="8">
        <f>COUNTIFS(Sheet1!B$2:B1000, B6, Sheet1!I$2:I1000, "Pass")</f>
        <v>5</v>
      </c>
      <c r="E6" s="8">
        <f>COUNTIFS(Sheet1!B$2:B1000, B6, Sheet1!I$2:I1000, "Fail")</f>
        <v>1</v>
      </c>
      <c r="F6" s="10">
        <f t="shared" ref="F6:F10" si="1">IF(C6=0, 0, D6/C6)</f>
        <v>0.8333333333</v>
      </c>
    </row>
    <row r="7">
      <c r="B7" s="2" t="s">
        <v>64</v>
      </c>
      <c r="C7" s="8">
        <f>COUNTIF(Sheet1!B$2:B1000, B7)</f>
        <v>5</v>
      </c>
      <c r="D7" s="8">
        <f>COUNTIFS(Sheet1!B$2:B1000, B7, Sheet1!I$2:I1000, "Pass")</f>
        <v>4</v>
      </c>
      <c r="E7" s="8">
        <f>COUNTIFS(Sheet1!B$2:B1000, B7, Sheet1!I$2:I1000, "Fail")</f>
        <v>1</v>
      </c>
      <c r="F7" s="10">
        <f t="shared" si="1"/>
        <v>0.8</v>
      </c>
    </row>
    <row r="8">
      <c r="B8" s="2" t="s">
        <v>105</v>
      </c>
      <c r="C8" s="8">
        <f>COUNTIF(Sheet1!B$2:B1000, B8)</f>
        <v>5</v>
      </c>
      <c r="D8" s="8">
        <f>COUNTIFS(Sheet1!B$2:B1000, B8, Sheet1!I$2:I1000, "Pass")</f>
        <v>4</v>
      </c>
      <c r="E8" s="8">
        <f>COUNTIFS(Sheet1!B$2:B1000, B8, Sheet1!I$2:I1000, "Fail")</f>
        <v>1</v>
      </c>
      <c r="F8" s="10">
        <f t="shared" si="1"/>
        <v>0.8</v>
      </c>
    </row>
    <row r="9">
      <c r="B9" s="2" t="s">
        <v>146</v>
      </c>
      <c r="C9" s="8">
        <f>COUNTIF(Sheet1!B$2:B1000, B9)</f>
        <v>5</v>
      </c>
      <c r="D9" s="8">
        <f>COUNTIFS(Sheet1!B$2:B1000, B9, Sheet1!I$2:I1000, "Pass")</f>
        <v>4</v>
      </c>
      <c r="E9" s="8">
        <f>COUNTIFS(Sheet1!B$2:B1000, B9, Sheet1!I$2:I1000, "Fail")</f>
        <v>1</v>
      </c>
      <c r="F9" s="10">
        <f t="shared" si="1"/>
        <v>0.8</v>
      </c>
    </row>
    <row r="10">
      <c r="B10" s="2" t="s">
        <v>3</v>
      </c>
      <c r="C10" s="8">
        <f t="shared" ref="C10:E10" si="2">SUM(C6:C9)</f>
        <v>21</v>
      </c>
      <c r="D10" s="8">
        <f t="shared" si="2"/>
        <v>17</v>
      </c>
      <c r="E10" s="8">
        <f t="shared" si="2"/>
        <v>4</v>
      </c>
      <c r="F10" s="10">
        <f t="shared" si="1"/>
        <v>0.8095238095</v>
      </c>
    </row>
  </sheetData>
  <drawing r:id="rId1"/>
</worksheet>
</file>