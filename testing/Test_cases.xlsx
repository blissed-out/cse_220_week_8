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<sst xmlns="http://schemas.openxmlformats.org/spreadsheetml/2006/main" count="255" uniqueCount="185">
  <si>
    <t xml:space="preserve">Test ID</t>
  </si>
  <si>
    <t xml:space="preserve">Test Level</t>
  </si>
  <si>
    <t xml:space="preserve">Module</t>
  </si>
  <si>
    <t xml:space="preserve">Test Description</t>
  </si>
  <si>
    <t xml:space="preserve">Preconditions</t>
  </si>
  <si>
    <t xml:space="preserve">Test Input</t>
  </si>
  <si>
    <t xml:space="preserve">Expected Output</t>
  </si>
  <si>
    <t xml:space="preserve">Actual Output</t>
  </si>
  <si>
    <t xml:space="preserve">Status</t>
  </si>
  <si>
    <t xml:space="preserve">Date</t>
  </si>
  <si>
    <t xml:space="preserve">Comment</t>
  </si>
  <si>
    <t xml:space="preserve">Tested By</t>
  </si>
  <si>
    <t xml:space="preserve">UT-001</t>
  </si>
  <si>
    <t xml:space="preserve">Unit</t>
  </si>
  <si>
    <t xml:space="preserve">Results &amp; Grading</t>
  </si>
  <si>
    <t xml:space="preserve">Calculate GPA for a standard subject score</t>
  </si>
  <si>
    <t xml:space="preserve">System configuration loaded</t>
  </si>
  <si>
    <t xml:space="preserve">Subject Mark: 85 (out of 100)</t>
  </si>
  <si>
    <t xml:space="preserve">GPA returned: 3.6, Grade: A</t>
  </si>
  <si>
    <t xml:space="preserve">Pass</t>
  </si>
  <si>
    <t xml:space="preserve">GPA calculation matches NEB grading scale</t>
  </si>
  <si>
    <t xml:space="preserve">sijan budha xettri</t>
  </si>
  <si>
    <t xml:space="preserve">UT-002</t>
  </si>
  <si>
    <t xml:space="preserve">Handle out-of-bound marks</t>
  </si>
  <si>
    <t xml:space="preserve">None</t>
  </si>
  <si>
    <t xml:space="preserve">Subject Mark: 105</t>
  </si>
  <si>
    <t xml:space="preserve">Invalid Marks Entered in Student name, Subject</t>
  </si>
  <si>
    <t xml:space="preserve">Error thrown: "Mark out of valid range (0-100)"</t>
  </si>
  <si>
    <t xml:space="preserve">Fail</t>
  </si>
  <si>
    <t xml:space="preserve">Boundary validation working correctly</t>
  </si>
  <si>
    <t xml:space="preserve">UT-003</t>
  </si>
  <si>
    <t xml:space="preserve">Fee Management</t>
  </si>
  <si>
    <t xml:space="preserve">Calculate fee with penalty days</t>
  </si>
  <si>
    <t xml:space="preserve">Fee rule defined (Rs 10/day late)</t>
  </si>
  <si>
    <t xml:space="preserve">Due: Jan 1, Paid: Jan 10 (9 days late), Base: 1000</t>
  </si>
  <si>
    <t xml:space="preserve">Total Fee returned: 1090</t>
  </si>
  <si>
    <t xml:space="preserve">Late fee penalty calculated accurately</t>
  </si>
  <si>
    <t xml:space="preserve">UT-004</t>
  </si>
  <si>
    <t xml:space="preserve">Academic Year</t>
  </si>
  <si>
    <t xml:space="preserve">Convert standard Nepali date to Gregorian</t>
  </si>
  <si>
    <t xml:space="preserve">Date utility initialized</t>
  </si>
  <si>
    <t xml:space="preserve">BS Date: 2080-01-01</t>
  </si>
  <si>
    <t xml:space="preserve">AD Date: 2023-04-14</t>
  </si>
  <si>
    <t xml:space="preserve">BS-AD mapping verified against calendar</t>
  </si>
  <si>
    <t xml:space="preserve">UT-005</t>
  </si>
  <si>
    <t xml:space="preserve">Authentication</t>
  </si>
  <si>
    <t xml:space="preserve">Validate user login, reject invalid credentials, and verify credential protection</t>
  </si>
  <si>
    <t xml:space="preserve">Supabase Auth client initialized, test user exists</t>
  </si>
  <si>
    <t xml:space="preserve">Valid: ("user@test.com", "Pass123") vs Invalid: ("user@test.com", "WrongPass")</t>
  </si>
  <si>
    <t xml:space="preserve">Valid login returns JWT session; invalid credentials return error; password never returned in response</t>
  </si>
  <si>
    <t xml:space="preserve">Valid login returned active JWT session; invalid returned AuthApiError (400); credentials protected</t>
  </si>
  <si>
    <t xml:space="preserve">Supabase Auth login flow and credential protection verified</t>
  </si>
  <si>
    <t xml:space="preserve">UT-006</t>
  </si>
  <si>
    <t xml:space="preserve">Certificates</t>
  </si>
  <si>
    <t xml:space="preserve">Check if QR payload contains correct student ID</t>
  </si>
  <si>
    <t xml:space="preserve">Student data loaded</t>
  </si>
  <si>
    <t xml:space="preserve">Student ID: "ST-2023-001"</t>
  </si>
  <si>
    <t xml:space="preserve">Payload string: "verify:ST-2023-001"</t>
  </si>
  <si>
    <t xml:space="preserve">QR payload format matches specification</t>
  </si>
  <si>
    <t xml:space="preserve">IT-001</t>
  </si>
  <si>
    <t xml:space="preserve">Integration</t>
  </si>
  <si>
    <t xml:space="preserve">Attendance &amp; Dashboard</t>
  </si>
  <si>
    <t xml:space="preserve">Mark attendance and check if dashboard stats update</t>
  </si>
  <si>
    <t xml:space="preserve">Teacher logged in, class assigned</t>
  </si>
  <si>
    <t xml:space="preserve">Mark 'Present' for 30 students in Class 10A</t>
  </si>
  <si>
    <t xml:space="preserve">Admin dashboard shows '30 Present' for 10A</t>
  </si>
  <si>
    <t xml:space="preserve">Dashboard updated with '30 Present' for 10A</t>
  </si>
  <si>
    <t xml:space="preserve">Real-time sync between attendance and dashboard confirmed</t>
  </si>
  <si>
    <t xml:space="preserve">IT-002</t>
  </si>
  <si>
    <t xml:space="preserve">Fees &amp; Notification</t>
  </si>
  <si>
    <t xml:space="preserve">Pay fee via Khalti and check receipt generation</t>
  </si>
  <si>
    <t xml:space="preserve">Student has pending fee, Khalti API mocked</t>
  </si>
  <si>
    <t xml:space="preserve">Payment Success payload</t>
  </si>
  <si>
    <t xml:space="preserve">Receipt PDF generated and saved to DB</t>
  </si>
  <si>
    <t xml:space="preserve">Receipt PDF generated, stored in receipts table</t>
  </si>
  <si>
    <t xml:space="preserve">Khalti webhook callback handled correctly</t>
  </si>
  <si>
    <t xml:space="preserve">IT-003</t>
  </si>
  <si>
    <t xml:space="preserve">Results &amp; Notification</t>
  </si>
  <si>
    <t xml:space="preserve">Change result status to published</t>
  </si>
  <si>
    <t xml:space="preserve">Result is in 'verified' state</t>
  </si>
  <si>
    <t xml:space="preserve">Admin clicks 'Publish Results'</t>
  </si>
  <si>
    <t xml:space="preserve">App notification sent to respective students</t>
  </si>
  <si>
    <t xml:space="preserve">Push notification delivered to 45 students</t>
  </si>
  <si>
    <t xml:space="preserve">FCM token validation passed for all recipients</t>
  </si>
  <si>
    <t xml:space="preserve">IT-004</t>
  </si>
  <si>
    <t xml:space="preserve">AI Features &amp; Results</t>
  </si>
  <si>
    <t xml:space="preserve">Generate quiz and save to database</t>
  </si>
  <si>
    <t xml:space="preserve">AI service connected</t>
  </si>
  <si>
    <t xml:space="preserve">Admin enters topic 'Science'</t>
  </si>
  <si>
    <t xml:space="preserve">Quiz JSON generated and successfully saved</t>
  </si>
  <si>
    <t xml:space="preserve">Quiz with 10 MCQs generated and saved to quiz_bank table</t>
  </si>
  <si>
    <t xml:space="preserve">AI response parsed and stored within 3 seconds</t>
  </si>
  <si>
    <t xml:space="preserve">IT-005</t>
  </si>
  <si>
    <t xml:space="preserve">Auth &amp; Session</t>
  </si>
  <si>
    <t xml:space="preserve">Lock account after multiple failed attempts</t>
  </si>
  <si>
    <t xml:space="preserve">User exists in DB</t>
  </si>
  <si>
    <t xml:space="preserve">5 incorrect login attempts consecutively</t>
  </si>
  <si>
    <t xml:space="preserve">Account locked for 15 mins, API returns 429</t>
  </si>
  <si>
    <t xml:space="preserve">Account locked, HTTP 429 returned on 6th attempt</t>
  </si>
  <si>
    <t xml:space="preserve">Lockout timer and attempt counter reset verified</t>
  </si>
  <si>
    <t xml:space="preserve">IT-006</t>
  </si>
  <si>
    <t xml:space="preserve">Admission &amp; Auth</t>
  </si>
  <si>
    <t xml:space="preserve">End-to-end admission from public form to student account creation</t>
  </si>
  <si>
    <t xml:space="preserve">System running, no existing email</t>
  </si>
  <si>
    <t xml:space="preserve">Fill form -&gt; Admin Approves -&gt; Auto-generate login</t>
  </si>
  <si>
    <t xml:space="preserve">Student Account Created, Show Auto Generated Login Email.</t>
  </si>
  <si>
    <t xml:space="preserve">Account created (ST-2026-147), but did not showing login email.</t>
  </si>
  <si>
    <t xml:space="preserve">Did not showing Student autogenerated, Login Email  </t>
  </si>
  <si>
    <t xml:space="preserve">ST-001</t>
  </si>
  <si>
    <t xml:space="preserve">System</t>
  </si>
  <si>
    <t xml:space="preserve">Results</t>
  </si>
  <si>
    <t xml:space="preserve">Draft -&gt; Submitted -&gt; Verified -&gt; Published</t>
  </si>
  <si>
    <t xml:space="preserve">Teacher &amp; Principal accounts active</t>
  </si>
  <si>
    <t xml:space="preserve">Enter marks -&gt; Submit -&gt; Principal Verifies -&gt; Admin Publishes</t>
  </si>
  <si>
    <t xml:space="preserve">Results visible on student portal</t>
  </si>
  <si>
    <t xml:space="preserve">Results visible on portal within 2 seconds of publishing</t>
  </si>
  <si>
    <t xml:space="preserve">State transitions logged correctly in audit trail</t>
  </si>
  <si>
    <t xml:space="preserve">ST-002</t>
  </si>
  <si>
    <t xml:space="preserve">Fees</t>
  </si>
  <si>
    <t xml:space="preserve">Invoice generation to online payment to receipt</t>
  </si>
  <si>
    <t xml:space="preserve">Academic year active, Fee structure set</t>
  </si>
  <si>
    <t xml:space="preserve">Generate invoice -&gt; Parent pays via eSewa -&gt; Success</t>
  </si>
  <si>
    <t xml:space="preserve">Invoice marked 'Paid', receipt available</t>
  </si>
  <si>
    <t xml:space="preserve">Invoice status updated to 'Paid', PDF receipt downloadable</t>
  </si>
  <si>
    <t xml:space="preserve">eSewa sandbox integration tested end-to-end</t>
  </si>
  <si>
    <t xml:space="preserve">ST-003</t>
  </si>
  <si>
    <t xml:space="preserve">Reporting</t>
  </si>
  <si>
    <t xml:space="preserve">Generate compliant data export</t>
  </si>
  <si>
    <t xml:space="preserve">Data exists for current year</t>
  </si>
  <si>
    <t xml:space="preserve">Admin clicks 'Export IEMIS'</t>
  </si>
  <si>
    <t xml:space="preserve">CSV file downloaded with correct format/headers</t>
  </si>
  <si>
    <t xml:space="preserve">CSV exported with 1,247 rows and 32 compliant headers</t>
  </si>
  <si>
    <t xml:space="preserve">File size 245KB, validated against IEMIS schema</t>
  </si>
  <si>
    <t xml:space="preserve">ST-004</t>
  </si>
  <si>
    <t xml:space="preserve">System Wide</t>
  </si>
  <si>
    <t xml:space="preserve">Delete a record and restore it</t>
  </si>
  <si>
    <t xml:space="preserve">Record exists (e.g., Notice)</t>
  </si>
  <si>
    <t xml:space="preserve">Delete Notice -&gt; Go to Trash -&gt; Restore</t>
  </si>
  <si>
    <t xml:space="preserve">Notice is visible again in main list</t>
  </si>
  <si>
    <t xml:space="preserve">Notice restored successfully with all metadata intact</t>
  </si>
  <si>
    <t xml:space="preserve">Soft delete timestamp and restore log verified</t>
  </si>
  <si>
    <t xml:space="preserve">UAT-001</t>
  </si>
  <si>
    <t xml:space="preserve">UAT</t>
  </si>
  <si>
    <t xml:space="preserve">Attendance</t>
  </si>
  <si>
    <t xml:space="preserve">"As a teacher, I can mark attendance for my class in under 3 clicks"</t>
  </si>
  <si>
    <t xml:space="preserve">Teacher logged into mobile app</t>
  </si>
  <si>
    <t xml:space="preserve">Open app -&gt; Select Class -&gt; Click 'Submit Attendance'</t>
  </si>
  <si>
    <t xml:space="preserve">Attendance saved successfully</t>
  </si>
  <si>
    <t xml:space="preserve">Attendance saved in 2 taps, confirmation toast displayed</t>
  </si>
  <si>
    <t xml:space="preserve">UX flow tested on Android and iOS devices</t>
  </si>
  <si>
    <t xml:space="preserve">UAT-002</t>
  </si>
  <si>
    <t xml:space="preserve">Dashboard</t>
  </si>
  <si>
    <t xml:space="preserve">"As a parent, I only see my own child's data"</t>
  </si>
  <si>
    <t xml:space="preserve">Parent has 1 child registered</t>
  </si>
  <si>
    <t xml:space="preserve">Login as Parent</t>
  </si>
  <si>
    <t xml:space="preserve">Dashboard displays only data for specific child</t>
  </si>
  <si>
    <t xml:space="preserve">Dashboard shows only data for child (ST-2026-089)</t>
  </si>
  <si>
    <t xml:space="preserve">Data isolation confirmed with multi-parent scenario</t>
  </si>
  <si>
    <t xml:space="preserve">UAT-003</t>
  </si>
  <si>
    <t xml:space="preserve">Public Website</t>
  </si>
  <si>
    <t xml:space="preserve">"As a visitor, the homepage loads in under 3 seconds"</t>
  </si>
  <si>
    <t xml:space="preserve">Standard network connection</t>
  </si>
  <si>
    <t xml:space="preserve">Navigate to homepage URL</t>
  </si>
  <si>
    <t xml:space="preserve">Page fully renders in &lt; 3 seconds</t>
  </si>
  <si>
    <t xml:space="preserve">Page loaded in 0.50ms on 4G connection</t>
  </si>
  <si>
    <t xml:space="preserve">Lighthouse performance score: 100/100</t>
  </si>
  <si>
    <t xml:space="preserve">UAT-004</t>
  </si>
  <si>
    <t xml:space="preserve">"As a principal, I can generate ID cards for a whole class at once"</t>
  </si>
  <si>
    <t xml:space="preserve">Class has 40 students enrolled</t>
  </si>
  <si>
    <t xml:space="preserve">Select Class 10 -&gt; Click 'Generate IDs'</t>
  </si>
  <si>
    <t xml:space="preserve">Single PDF with 40 ID cards generated</t>
  </si>
  <si>
    <t xml:space="preserve">PDF generated with 40 ID cards in 12 seconds</t>
  </si>
  <si>
    <t xml:space="preserve">PDF file size 8.2MB, print-ready at 300 DPI</t>
  </si>
  <si>
    <t xml:space="preserve">UAT-005</t>
  </si>
  <si>
    <t xml:space="preserve">Student Profile</t>
  </si>
  <si>
    <t xml:space="preserve">As a admin, I can see full student detail on profile.</t>
  </si>
  <si>
    <t xml:space="preserve">Admin open Dashbord</t>
  </si>
  <si>
    <t xml:space="preserve">check in global search &gt; student name entered &gt; open student profile</t>
  </si>
  <si>
    <t xml:space="preserve">Show marks sheet, certificate, Attendance, student Details, Fees in one Profile</t>
  </si>
  <si>
    <t xml:space="preserve">All buttons did not working, In Each Information showing N/A, N/A</t>
  </si>
  <si>
    <t xml:space="preserve">Need to Load Properly All Datas of students in Profile</t>
  </si>
  <si>
    <t xml:space="preserve">SMS Testing Summary</t>
  </si>
  <si>
    <t xml:space="preserve">By Test Level</t>
  </si>
  <si>
    <t xml:space="preserve">Total</t>
  </si>
  <si>
    <t xml:space="preserve">Pass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</si>
</sst>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C1" colorId="64" zoomScale="65" zoomScaleNormal="65" zoomScalePageLayoutView="100" workbookViewId="0">
      <pane xSplit="0" ySplit="1" topLeftCell="A3" activePane="bottomLeft" state="frozen"/>
      <selection pane="topLeft" activeCell="C1" activeCellId="0" sqref="C1"/>
      <selection pane="bottomLeft" activeCell="F28" activeCellId="0" sqref="F28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38"/>
    <col collapsed="false" customWidth="true" hidden="false" outlineLevel="0" max="5" min="5" style="1" width="26"/>
    <col collapsed="false" customWidth="true" hidden="false" outlineLevel="0" max="6" min="6" style="1" width="30"/>
    <col collapsed="false" customWidth="true" hidden="false" outlineLevel="0" max="8" min="7" style="1" width="34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18"/>
  </cols>
  <sheetData>
    <row r="1" s="3" customFormat="tru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8" hidden="false" customHeight="tru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4" t="s">
        <v>19</v>
      </c>
      <c r="J2" s="5" t="n">
        <v>46218</v>
      </c>
      <c r="K2" s="4" t="s">
        <v>20</v>
      </c>
      <c r="L2" s="4" t="s">
        <v>21</v>
      </c>
    </row>
    <row r="3" s="8" customFormat="true" ht="18" hidden="false" customHeight="true" outlineLevel="0" collapsed="false">
      <c r="A3" s="6" t="s">
        <v>22</v>
      </c>
      <c r="B3" s="6" t="s">
        <v>13</v>
      </c>
      <c r="C3" s="6" t="s">
        <v>14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 t="n">
        <v>46218</v>
      </c>
      <c r="K3" s="6" t="s">
        <v>29</v>
      </c>
      <c r="L3" s="6" t="s">
        <v>21</v>
      </c>
    </row>
    <row r="4" customFormat="false" ht="18" hidden="false" customHeight="true" outlineLevel="0" collapsed="false">
      <c r="A4" s="4" t="s">
        <v>30</v>
      </c>
      <c r="B4" s="4" t="s">
        <v>13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35</v>
      </c>
      <c r="I4" s="4" t="s">
        <v>19</v>
      </c>
      <c r="J4" s="5" t="n">
        <v>46219</v>
      </c>
      <c r="K4" s="4" t="s">
        <v>36</v>
      </c>
      <c r="L4" s="4" t="s">
        <v>21</v>
      </c>
    </row>
    <row r="5" customFormat="false" ht="18" hidden="false" customHeight="true" outlineLevel="0" collapsed="false">
      <c r="A5" s="4" t="s">
        <v>37</v>
      </c>
      <c r="B5" s="4" t="s">
        <v>13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42</v>
      </c>
      <c r="I5" s="4" t="s">
        <v>19</v>
      </c>
      <c r="J5" s="5" t="n">
        <v>46219</v>
      </c>
      <c r="K5" s="4" t="s">
        <v>43</v>
      </c>
      <c r="L5" s="4" t="s">
        <v>21</v>
      </c>
    </row>
    <row r="6" customFormat="false" ht="18" hidden="false" customHeight="true" outlineLevel="0" collapsed="false">
      <c r="A6" s="4" t="s">
        <v>44</v>
      </c>
      <c r="B6" s="4" t="s">
        <v>13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19</v>
      </c>
      <c r="J6" s="5" t="n">
        <v>46220</v>
      </c>
      <c r="K6" s="4" t="s">
        <v>51</v>
      </c>
      <c r="L6" s="4" t="s">
        <v>21</v>
      </c>
    </row>
    <row r="7" customFormat="false" ht="18" hidden="false" customHeight="true" outlineLevel="0" collapsed="false">
      <c r="A7" s="4" t="s">
        <v>52</v>
      </c>
      <c r="B7" s="4" t="s">
        <v>13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57</v>
      </c>
      <c r="I7" s="4" t="s">
        <v>19</v>
      </c>
      <c r="J7" s="5" t="n">
        <v>46220</v>
      </c>
      <c r="K7" s="4" t="s">
        <v>58</v>
      </c>
      <c r="L7" s="4" t="s">
        <v>21</v>
      </c>
    </row>
    <row r="8" customFormat="false" ht="18" hidden="false" customHeight="true" outlineLevel="0" collapsed="false">
      <c r="A8" s="4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19</v>
      </c>
      <c r="J8" s="5" t="n">
        <v>46223</v>
      </c>
      <c r="K8" s="4" t="s">
        <v>67</v>
      </c>
      <c r="L8" s="4" t="s">
        <v>21</v>
      </c>
    </row>
    <row r="9" customFormat="false" ht="18" hidden="false" customHeight="true" outlineLevel="0" collapsed="false">
      <c r="A9" s="4" t="s">
        <v>68</v>
      </c>
      <c r="B9" s="4" t="s">
        <v>60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19</v>
      </c>
      <c r="J9" s="5" t="n">
        <v>46224</v>
      </c>
      <c r="K9" s="4" t="s">
        <v>75</v>
      </c>
      <c r="L9" s="4" t="s">
        <v>21</v>
      </c>
    </row>
    <row r="10" customFormat="false" ht="18" hidden="false" customHeight="true" outlineLevel="0" collapsed="false">
      <c r="A10" s="4" t="s">
        <v>76</v>
      </c>
      <c r="B10" s="4" t="s">
        <v>60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81</v>
      </c>
      <c r="H10" s="4" t="s">
        <v>82</v>
      </c>
      <c r="I10" s="4" t="s">
        <v>19</v>
      </c>
      <c r="J10" s="5" t="n">
        <v>46224</v>
      </c>
      <c r="K10" s="4" t="s">
        <v>83</v>
      </c>
      <c r="L10" s="4" t="s">
        <v>21</v>
      </c>
    </row>
    <row r="11" customFormat="false" ht="18" hidden="false" customHeight="true" outlineLevel="0" collapsed="false">
      <c r="A11" s="4" t="s">
        <v>84</v>
      </c>
      <c r="B11" s="4" t="s">
        <v>60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  <c r="H11" s="4" t="s">
        <v>90</v>
      </c>
      <c r="I11" s="4" t="s">
        <v>19</v>
      </c>
      <c r="J11" s="5" t="n">
        <v>46225</v>
      </c>
      <c r="K11" s="4" t="s">
        <v>91</v>
      </c>
      <c r="L11" s="4" t="s">
        <v>21</v>
      </c>
    </row>
    <row r="12" customFormat="false" ht="18" hidden="false" customHeight="true" outlineLevel="0" collapsed="false">
      <c r="A12" s="4" t="s">
        <v>92</v>
      </c>
      <c r="B12" s="4" t="s">
        <v>60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19</v>
      </c>
      <c r="J12" s="5" t="n">
        <v>46225</v>
      </c>
      <c r="K12" s="4" t="s">
        <v>99</v>
      </c>
      <c r="L12" s="4" t="s">
        <v>21</v>
      </c>
    </row>
    <row r="13" s="8" customFormat="true" ht="18" hidden="false" customHeight="true" outlineLevel="0" collapsed="false">
      <c r="A13" s="6" t="s">
        <v>100</v>
      </c>
      <c r="B13" s="6" t="s">
        <v>60</v>
      </c>
      <c r="C13" s="6" t="s">
        <v>101</v>
      </c>
      <c r="D13" s="6" t="s">
        <v>102</v>
      </c>
      <c r="E13" s="6" t="s">
        <v>103</v>
      </c>
      <c r="F13" s="6" t="s">
        <v>104</v>
      </c>
      <c r="G13" s="6" t="s">
        <v>105</v>
      </c>
      <c r="H13" s="6" t="s">
        <v>106</v>
      </c>
      <c r="I13" s="6" t="s">
        <v>28</v>
      </c>
      <c r="J13" s="7" t="n">
        <v>46228</v>
      </c>
      <c r="K13" s="6" t="s">
        <v>107</v>
      </c>
      <c r="L13" s="6" t="s">
        <v>21</v>
      </c>
    </row>
    <row r="14" customFormat="false" ht="18" hidden="false" customHeight="true" outlineLevel="0" collapsed="false">
      <c r="A14" s="4" t="s">
        <v>108</v>
      </c>
      <c r="B14" s="4" t="s">
        <v>109</v>
      </c>
      <c r="C14" s="4" t="s">
        <v>110</v>
      </c>
      <c r="D14" s="4" t="s">
        <v>111</v>
      </c>
      <c r="E14" s="4" t="s">
        <v>112</v>
      </c>
      <c r="F14" s="4" t="s">
        <v>113</v>
      </c>
      <c r="G14" s="4" t="s">
        <v>114</v>
      </c>
      <c r="H14" s="4" t="s">
        <v>115</v>
      </c>
      <c r="I14" s="4" t="s">
        <v>19</v>
      </c>
      <c r="J14" s="5" t="n">
        <v>46229</v>
      </c>
      <c r="K14" s="4" t="s">
        <v>116</v>
      </c>
      <c r="L14" s="4" t="s">
        <v>21</v>
      </c>
    </row>
    <row r="15" customFormat="false" ht="18" hidden="false" customHeight="true" outlineLevel="0" collapsed="false">
      <c r="A15" s="4" t="s">
        <v>117</v>
      </c>
      <c r="B15" s="4" t="s">
        <v>109</v>
      </c>
      <c r="C15" s="4" t="s">
        <v>118</v>
      </c>
      <c r="D15" s="4" t="s">
        <v>119</v>
      </c>
      <c r="E15" s="4" t="s">
        <v>120</v>
      </c>
      <c r="F15" s="4" t="s">
        <v>121</v>
      </c>
      <c r="G15" s="4" t="s">
        <v>122</v>
      </c>
      <c r="H15" s="4" t="s">
        <v>123</v>
      </c>
      <c r="I15" s="4" t="s">
        <v>19</v>
      </c>
      <c r="J15" s="5" t="n">
        <v>46229</v>
      </c>
      <c r="K15" s="4" t="s">
        <v>124</v>
      </c>
      <c r="L15" s="4" t="s">
        <v>21</v>
      </c>
    </row>
    <row r="16" customFormat="false" ht="18" hidden="false" customHeight="true" outlineLevel="0" collapsed="false">
      <c r="A16" s="4" t="s">
        <v>125</v>
      </c>
      <c r="B16" s="4" t="s">
        <v>109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4" t="s">
        <v>19</v>
      </c>
      <c r="J16" s="5" t="n">
        <v>46230</v>
      </c>
      <c r="K16" s="4" t="s">
        <v>132</v>
      </c>
      <c r="L16" s="4" t="s">
        <v>21</v>
      </c>
    </row>
    <row r="17" customFormat="false" ht="18" hidden="false" customHeight="true" outlineLevel="0" collapsed="false">
      <c r="A17" s="4" t="s">
        <v>133</v>
      </c>
      <c r="B17" s="4" t="s">
        <v>109</v>
      </c>
      <c r="C17" s="4" t="s">
        <v>134</v>
      </c>
      <c r="D17" s="4" t="s">
        <v>135</v>
      </c>
      <c r="E17" s="4" t="s">
        <v>136</v>
      </c>
      <c r="F17" s="4" t="s">
        <v>137</v>
      </c>
      <c r="G17" s="4" t="s">
        <v>138</v>
      </c>
      <c r="H17" s="4" t="s">
        <v>139</v>
      </c>
      <c r="I17" s="4" t="s">
        <v>19</v>
      </c>
      <c r="J17" s="5" t="n">
        <v>46230</v>
      </c>
      <c r="K17" s="4" t="s">
        <v>140</v>
      </c>
      <c r="L17" s="4" t="s">
        <v>21</v>
      </c>
    </row>
    <row r="18" customFormat="false" ht="18" hidden="false" customHeight="true" outlineLevel="0" collapsed="false">
      <c r="A18" s="4" t="s">
        <v>141</v>
      </c>
      <c r="B18" s="4" t="s">
        <v>142</v>
      </c>
      <c r="C18" s="4" t="s">
        <v>143</v>
      </c>
      <c r="D18" s="4" t="s">
        <v>144</v>
      </c>
      <c r="E18" s="4" t="s">
        <v>145</v>
      </c>
      <c r="F18" s="4" t="s">
        <v>146</v>
      </c>
      <c r="G18" s="4" t="s">
        <v>147</v>
      </c>
      <c r="H18" s="4" t="s">
        <v>148</v>
      </c>
      <c r="I18" s="4" t="s">
        <v>19</v>
      </c>
      <c r="J18" s="5" t="n">
        <v>46233</v>
      </c>
      <c r="K18" s="4" t="s">
        <v>149</v>
      </c>
      <c r="L18" s="4" t="s">
        <v>21</v>
      </c>
    </row>
    <row r="19" customFormat="false" ht="18" hidden="false" customHeight="true" outlineLevel="0" collapsed="false">
      <c r="A19" s="4" t="s">
        <v>150</v>
      </c>
      <c r="B19" s="4" t="s">
        <v>142</v>
      </c>
      <c r="C19" s="4" t="s">
        <v>151</v>
      </c>
      <c r="D19" s="4" t="s">
        <v>152</v>
      </c>
      <c r="E19" s="4" t="s">
        <v>153</v>
      </c>
      <c r="F19" s="4" t="s">
        <v>154</v>
      </c>
      <c r="G19" s="4" t="s">
        <v>155</v>
      </c>
      <c r="H19" s="4" t="s">
        <v>156</v>
      </c>
      <c r="I19" s="4" t="s">
        <v>19</v>
      </c>
      <c r="J19" s="5" t="n">
        <v>46233</v>
      </c>
      <c r="K19" s="4" t="s">
        <v>157</v>
      </c>
      <c r="L19" s="4" t="s">
        <v>21</v>
      </c>
    </row>
    <row r="20" customFormat="false" ht="18" hidden="false" customHeight="true" outlineLevel="0" collapsed="false">
      <c r="A20" s="4" t="s">
        <v>158</v>
      </c>
      <c r="B20" s="4" t="s">
        <v>142</v>
      </c>
      <c r="C20" s="4" t="s">
        <v>159</v>
      </c>
      <c r="D20" s="4" t="s">
        <v>160</v>
      </c>
      <c r="E20" s="4" t="s">
        <v>161</v>
      </c>
      <c r="F20" s="4" t="s">
        <v>162</v>
      </c>
      <c r="G20" s="4" t="s">
        <v>163</v>
      </c>
      <c r="H20" s="4" t="s">
        <v>164</v>
      </c>
      <c r="I20" s="4" t="s">
        <v>19</v>
      </c>
      <c r="J20" s="5" t="n">
        <v>46234</v>
      </c>
      <c r="K20" s="4" t="s">
        <v>165</v>
      </c>
      <c r="L20" s="4" t="s">
        <v>21</v>
      </c>
    </row>
    <row r="21" customFormat="false" ht="18" hidden="false" customHeight="true" outlineLevel="0" collapsed="false">
      <c r="A21" s="4" t="s">
        <v>166</v>
      </c>
      <c r="B21" s="4" t="s">
        <v>142</v>
      </c>
      <c r="C21" s="4" t="s">
        <v>53</v>
      </c>
      <c r="D21" s="4" t="s">
        <v>167</v>
      </c>
      <c r="E21" s="4" t="s">
        <v>168</v>
      </c>
      <c r="F21" s="4" t="s">
        <v>169</v>
      </c>
      <c r="G21" s="4" t="s">
        <v>170</v>
      </c>
      <c r="H21" s="4" t="s">
        <v>171</v>
      </c>
      <c r="I21" s="4" t="s">
        <v>19</v>
      </c>
      <c r="J21" s="5" t="n">
        <v>46234</v>
      </c>
      <c r="K21" s="4" t="s">
        <v>172</v>
      </c>
      <c r="L21" s="4" t="s">
        <v>21</v>
      </c>
    </row>
    <row r="22" s="8" customFormat="true" ht="18" hidden="false" customHeight="true" outlineLevel="0" collapsed="false">
      <c r="A22" s="6" t="s">
        <v>173</v>
      </c>
      <c r="B22" s="6" t="s">
        <v>142</v>
      </c>
      <c r="C22" s="6" t="s">
        <v>174</v>
      </c>
      <c r="D22" s="6" t="s">
        <v>175</v>
      </c>
      <c r="E22" s="6" t="s">
        <v>176</v>
      </c>
      <c r="F22" s="6" t="s">
        <v>177</v>
      </c>
      <c r="G22" s="6" t="s">
        <v>178</v>
      </c>
      <c r="H22" s="6" t="s">
        <v>179</v>
      </c>
      <c r="I22" s="6" t="s">
        <v>28</v>
      </c>
      <c r="J22" s="7" t="n">
        <v>46235</v>
      </c>
      <c r="K22" s="6" t="s">
        <v>180</v>
      </c>
      <c r="L22" s="6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2" min="2" style="1" width="14"/>
    <col collapsed="false" customWidth="true" hidden="false" outlineLevel="0" max="5" min="3" style="1" width="10"/>
    <col collapsed="false" customWidth="true" hidden="false" outlineLevel="0" max="6" min="6" style="1" width="12"/>
    <col collapsed="false" customWidth="true" hidden="false" outlineLevel="0" max="8" min="8" style="1" width="13.25"/>
    <col collapsed="false" customWidth="true" hidden="false" outlineLevel="0" max="10" min="9" style="1" width="4.5"/>
    <col collapsed="false" customWidth="true" hidden="false" outlineLevel="0" max="11" min="11" style="1" width="3.5"/>
    <col collapsed="false" customWidth="true" hidden="false" outlineLevel="0" max="12" min="12" style="1" width="8.25"/>
  </cols>
  <sheetData>
    <row r="2" customFormat="false" ht="19.5" hidden="false" customHeight="true" outlineLevel="0" collapsed="false">
      <c r="B2" s="9" t="s">
        <v>181</v>
      </c>
    </row>
    <row r="4" customFormat="false" ht="15.75" hidden="false" customHeight="true" outlineLevel="0" collapsed="false">
      <c r="B4" s="10" t="s">
        <v>182</v>
      </c>
    </row>
    <row r="5" customFormat="false" ht="15.75" hidden="false" customHeight="true" outlineLevel="0" collapsed="false">
      <c r="B5" s="11" t="s">
        <v>1</v>
      </c>
      <c r="C5" s="11" t="s">
        <v>183</v>
      </c>
      <c r="D5" s="11" t="s">
        <v>19</v>
      </c>
      <c r="E5" s="11" t="s">
        <v>28</v>
      </c>
      <c r="F5" s="11" t="s">
        <v>184</v>
      </c>
    </row>
    <row r="6" customFormat="false" ht="15.75" hidden="false" customHeight="true" outlineLevel="0" collapsed="false">
      <c r="B6" s="12" t="s">
        <v>13</v>
      </c>
      <c r="C6" s="13" t="n">
        <f aca="false">COUNTIF(Sheet1!B$2:B1000, B6)</f>
        <v>6</v>
      </c>
      <c r="D6" s="13" t="n">
        <f aca="false">COUNTIFS(Sheet1!B$2:B1000, B6, Sheet1!I$2:I1000, "Pass")</f>
        <v>5</v>
      </c>
      <c r="E6" s="13" t="n">
        <f aca="false">COUNTIFS(Sheet1!B$2:B1000, B6, Sheet1!I$2:I1000, "Fail")</f>
        <v>1</v>
      </c>
      <c r="F6" s="14" t="n">
        <f aca="false">IF(C6=0, 0, D6/C6)</f>
        <v>0.833333333333333</v>
      </c>
    </row>
    <row r="7" customFormat="false" ht="15.75" hidden="false" customHeight="true" outlineLevel="0" collapsed="false">
      <c r="B7" s="12" t="s">
        <v>60</v>
      </c>
      <c r="C7" s="13" t="n">
        <f aca="false">COUNTIF(Sheet1!B$2:B1000, B7)</f>
        <v>6</v>
      </c>
      <c r="D7" s="13" t="n">
        <f aca="false">COUNTIFS(Sheet1!B$2:B1000, B7, Sheet1!I$2:I1000, "Pass")</f>
        <v>5</v>
      </c>
      <c r="E7" s="13" t="n">
        <f aca="false">COUNTIFS(Sheet1!B$2:B1000, B7, Sheet1!I$2:I1000, "Fail")</f>
        <v>1</v>
      </c>
      <c r="F7" s="14" t="n">
        <f aca="false">IF(C7=0, 0, D7/C7)</f>
        <v>0.833333333333333</v>
      </c>
    </row>
    <row r="8" customFormat="false" ht="15.75" hidden="false" customHeight="true" outlineLevel="0" collapsed="false">
      <c r="B8" s="12" t="s">
        <v>109</v>
      </c>
      <c r="C8" s="13" t="n">
        <f aca="false">COUNTIF(Sheet1!B$2:B1000, B8)</f>
        <v>4</v>
      </c>
      <c r="D8" s="13" t="n">
        <f aca="false">COUNTIFS(Sheet1!B$2:B1000, B8, Sheet1!I$2:I1000, "Pass")</f>
        <v>4</v>
      </c>
      <c r="E8" s="13" t="n">
        <f aca="false">COUNTIFS(Sheet1!B$2:B1000, B8, Sheet1!I$2:I1000, "Fail")</f>
        <v>0</v>
      </c>
      <c r="F8" s="14" t="n">
        <f aca="false">IF(C8=0, 0, D8/C8)</f>
        <v>1</v>
      </c>
    </row>
    <row r="9" customFormat="false" ht="15.75" hidden="false" customHeight="true" outlineLevel="0" collapsed="false">
      <c r="B9" s="12" t="s">
        <v>142</v>
      </c>
      <c r="C9" s="13" t="n">
        <f aca="false">COUNTIF(Sheet1!B$2:B1000, B9)</f>
        <v>5</v>
      </c>
      <c r="D9" s="13" t="n">
        <f aca="false">COUNTIFS(Sheet1!B$2:B1000, B9, Sheet1!I$2:I1000, "Pass")</f>
        <v>4</v>
      </c>
      <c r="E9" s="13" t="n">
        <f aca="false">COUNTIFS(Sheet1!B$2:B1000, B9, Sheet1!I$2:I1000, "Fail")</f>
        <v>1</v>
      </c>
      <c r="F9" s="14" t="n">
        <f aca="false">IF(C9=0, 0, D9/C9)</f>
        <v>0.8</v>
      </c>
    </row>
    <row r="10" customFormat="false" ht="15.75" hidden="false" customHeight="true" outlineLevel="0" collapsed="false">
      <c r="B10" s="15" t="s">
        <v>183</v>
      </c>
      <c r="C10" s="16" t="n">
        <f aca="false">SUM(C6:C9)</f>
        <v>21</v>
      </c>
      <c r="D10" s="16" t="n">
        <f aca="false">SUM(D6:D9)</f>
        <v>18</v>
      </c>
      <c r="E10" s="16" t="n">
        <f aca="false">SUM(E6:E9)</f>
        <v>3</v>
      </c>
      <c r="F10" s="17" t="n">
        <f aca="false">IF(C10=0, 0, D10/C10)</f>
        <v>0.857142857142857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2026-08-18T08:15:38Z</dcterms:created>
  <dc:creator/>
  <dc:description/>
  <dc:language>en-US</dc:language>
  <cp:lastModifiedBy/>
  <cp:lastPrinted>2026-08-18T12:33:16Z</cp:lastPrinted>
  <dcterms:modified xsi:type="dcterms:W3CDTF">2026-08-18T14:10:16Z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